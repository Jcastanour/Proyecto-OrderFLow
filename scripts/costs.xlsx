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pablocastanouribe/Proyecto-OrderFLow/scripts/"/>
    </mc:Choice>
  </mc:AlternateContent>
  <xr:revisionPtr revIDLastSave="0" documentId="13_ncr:1_{7234449F-B803-4247-8BAB-79D57B161E1A}" xr6:coauthVersionLast="47" xr6:coauthVersionMax="47" xr10:uidLastSave="{00000000-0000-0000-0000-000000000000}"/>
  <bookViews>
    <workbookView xWindow="0" yWindow="760" windowWidth="29400" windowHeight="16960" xr2:uid="{19F7AC23-BA09-704F-8E4D-77379C99D226}"/>
  </bookViews>
  <sheets>
    <sheet name="Mi caso" sheetId="12" r:id="rId1"/>
    <sheet name="Lambda" sheetId="13" r:id="rId2"/>
    <sheet name="API Gateway" sheetId="14" r:id="rId3"/>
    <sheet name="DynamoDB" sheetId="15" r:id="rId4"/>
    <sheet name="S3" sheetId="16" r:id="rId5"/>
    <sheet name="Cognito" sheetId="17" r:id="rId6"/>
    <sheet name="Notificaciones" sheetId="18" r:id="rId7"/>
    <sheet name="Resumen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1" i="11" l="1"/>
  <c r="H21" i="11" s="1"/>
  <c r="H20" i="11"/>
  <c r="H19" i="11"/>
  <c r="C16" i="11"/>
  <c r="C9" i="11"/>
  <c r="C7" i="11"/>
  <c r="C6" i="11"/>
  <c r="B6" i="17"/>
  <c r="B7" i="16"/>
  <c r="B9" i="16" s="1"/>
  <c r="C13" i="11" s="1"/>
  <c r="B24" i="15"/>
  <c r="B14" i="12"/>
  <c r="B23" i="16" s="1"/>
  <c r="C15" i="11" s="1"/>
  <c r="B15" i="12" l="1"/>
  <c r="B15" i="15"/>
  <c r="B14" i="16"/>
  <c r="B16" i="15"/>
  <c r="B6" i="13"/>
  <c r="B7" i="13"/>
  <c r="B8" i="13"/>
  <c r="B14" i="15"/>
  <c r="B13" i="16"/>
  <c r="B16" i="16" s="1"/>
  <c r="C14" i="11" s="1"/>
  <c r="B17" i="15" l="1"/>
  <c r="B19" i="15" s="1"/>
  <c r="C11" i="11" s="1"/>
  <c r="B11" i="13"/>
  <c r="B7" i="15"/>
  <c r="B10" i="13"/>
  <c r="B9" i="13"/>
  <c r="B13" i="13" s="1"/>
  <c r="C5" i="11" s="1"/>
  <c r="B6" i="15"/>
  <c r="B7" i="18"/>
  <c r="B10" i="18" s="1"/>
  <c r="C18" i="11" s="1"/>
  <c r="B16" i="12"/>
  <c r="B17" i="12" s="1"/>
  <c r="B6" i="18"/>
  <c r="B9" i="18" s="1"/>
  <c r="C17" i="11" s="1"/>
  <c r="B22" i="15"/>
  <c r="B27" i="15" s="1"/>
  <c r="C12" i="11" s="1"/>
  <c r="B10" i="15" l="1"/>
  <c r="C10" i="11" s="1"/>
  <c r="B6" i="14"/>
  <c r="B9" i="14" s="1"/>
  <c r="C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tc={D22E8344-EE0B-BD43-AA81-5EEDE022DB42}</author>
  </authors>
  <commentList>
    <comment ref="H21" authorId="0" shapeId="0" xr:uid="{D22E8344-EE0B-BD43-AA81-5EEDE022DB42}">
      <text>
        <t>[Threaded comment]
Your version of Excel allows you to read this threaded comment; however, any edits to it will get removed if the file is opened in a newer version of Excel. Learn more: https://go.microsoft.com/fwlink/?linkid=870924
Comment:
    $0.27 pesos por pedido</t>
      </text>
    </comment>
  </commentList>
</comments>
</file>

<file path=xl/sharedStrings.xml><?xml version="1.0" encoding="utf-8"?>
<sst xmlns="http://schemas.openxmlformats.org/spreadsheetml/2006/main" count="224" uniqueCount="197">
  <si>
    <t>Valor</t>
  </si>
  <si>
    <t>Justificación</t>
  </si>
  <si>
    <t>Servicio</t>
  </si>
  <si>
    <t>Lambda</t>
  </si>
  <si>
    <t>DynamoDB</t>
  </si>
  <si>
    <t>S3</t>
  </si>
  <si>
    <t>Cognito</t>
  </si>
  <si>
    <t>API Gateway</t>
  </si>
  <si>
    <t>Mi caso — OrderFlow</t>
  </si>
  <si>
    <t>App de pedidos a restaurantes. Cálculo de cuánto cuesta correrla en AWS al mes.</t>
  </si>
  <si>
    <t>Dato</t>
  </si>
  <si>
    <t>Cómo lo justifico</t>
  </si>
  <si>
    <t>Usuarios activos al mes</t>
  </si>
  <si>
    <t>Restaurantes activos</t>
  </si>
  <si>
    <t>¿Cuántos días al mes abre la app un usuario típico?</t>
  </si>
  <si>
    <t>Veces que abre la app esos días</t>
  </si>
  <si>
    <t>% de aperturas que terminan en pedido</t>
  </si>
  <si>
    <t>Concepto</t>
  </si>
  <si>
    <t>Cantidad</t>
  </si>
  <si>
    <t>De dónde sale</t>
  </si>
  <si>
    <t>Aperturas de la app al mes</t>
  </si>
  <si>
    <t>5,000 usuarios × 8 días × 1.5 aperturas</t>
  </si>
  <si>
    <t>Pedidos al mes</t>
  </si>
  <si>
    <t>Aperturas × 50% que convierten</t>
  </si>
  <si>
    <t>Pedidos por día (todo el sistema)</t>
  </si>
  <si>
    <t>Pedidos al mes / 30 días</t>
  </si>
  <si>
    <t>Pedidos por restaurante por día</t>
  </si>
  <si>
    <t>Login / abrir la app</t>
  </si>
  <si>
    <t>Ver el menú del restaurante</t>
  </si>
  <si>
    <t>Crear el pedido</t>
  </si>
  <si>
    <t>Cambios de estado del pedido</t>
  </si>
  <si>
    <t>1 notificación por cada cambio de estado</t>
  </si>
  <si>
    <t>TOTAL ejecuciones al mes</t>
  </si>
  <si>
    <t>Memoria asignada (MB)</t>
  </si>
  <si>
    <t>Llamadas al mes</t>
  </si>
  <si>
    <t>Lambda — las funciones del backend</t>
  </si>
  <si>
    <t>Cada vez que el usuario toca algo en la app, se ejecuta una función en el servidor. AWS me va a pedir cuántas veces se ejecuta al mes.</t>
  </si>
  <si>
    <t>¿Cuántas ejecuciones al mes?</t>
  </si>
  <si>
    <t>Acción</t>
  </si>
  <si>
    <t>Veces al mes</t>
  </si>
  <si>
    <t>Razonamiento</t>
  </si>
  <si>
    <t>1 por cada apertura de la app</t>
  </si>
  <si>
    <t>El usuario siempre mira el menú cuando entra. 1 por apertura.</t>
  </si>
  <si>
    <t>Ver detalle de platos</t>
  </si>
  <si>
    <t>1 por cada pedido que se hace</t>
  </si>
  <si>
    <t>Cada pedido pasa por: en cocina → listo → en camino → entregado (4 cambios)</t>
  </si>
  <si>
    <t>Enviar notificaciones</t>
  </si>
  <si>
    <t>← ESTO va en la calculadora AWS, campo "Number of requests"</t>
  </si>
  <si>
    <t>Otros datos que pide la calculadora</t>
  </si>
  <si>
    <t>Duración promedio (ms)</t>
  </si>
  <si>
    <t>Memoria (MB)</t>
  </si>
  <si>
    <t>El mínimo de AWS. No necesito más para funciones simples.</t>
  </si>
  <si>
    <t>API Gateway — la puerta de entrada</t>
  </si>
  <si>
    <t>Cada llamada de la app al backend pasa primero por aquí. AWS me va a pedir cuántas llamadas al mes.</t>
  </si>
  <si>
    <t>¿Cuántas llamadas al mes?</t>
  </si>
  <si>
    <t>Llamadas que vienen del usuario</t>
  </si>
  <si>
    <t>Todo lo que hace el usuario (login, ver menú, ver platos, pedir, ver estado) pasa por aquí</t>
  </si>
  <si>
    <t>Las notificaciones NO cuentan</t>
  </si>
  <si>
    <t>Las notificaciones salen del servidor hacia el usuario, no entran por API Gateway</t>
  </si>
  <si>
    <t>TOTAL llamadas al mes</t>
  </si>
  <si>
    <t>Otros datos</t>
  </si>
  <si>
    <t>Tipo de API</t>
  </si>
  <si>
    <t>HTTP API</t>
  </si>
  <si>
    <t>Más barata que REST API y suficiente para mi caso</t>
  </si>
  <si>
    <t>Tamaño promedio de cada llamada (KB)</t>
  </si>
  <si>
    <t>Mis respuestas son JSON pequeños (lista de platos, estado del pedido)</t>
  </si>
  <si>
    <t>DynamoDB — la base de datos</t>
  </si>
  <si>
    <t>Donde guardo usuarios, restaurantes, menús y pedidos. AWS me pide cuántas lecturas, escrituras y cuánto espacio uso.</t>
  </si>
  <si>
    <t>Escrituras al mes (cuando se GUARDA algo)</t>
  </si>
  <si>
    <t>Escrituras al mes</t>
  </si>
  <si>
    <t>Guardar un pedido nuevo</t>
  </si>
  <si>
    <t>1 escritura por pedido</t>
  </si>
  <si>
    <t>Actualizar estado del pedido</t>
  </si>
  <si>
    <t>El pedido cambia de estado 4 veces (cocina, listo, en camino, entregado)</t>
  </si>
  <si>
    <t>Registros de usuarios nuevos</t>
  </si>
  <si>
    <t>Asumo ~200 nuevos al mes (crecimiento moderado)</t>
  </si>
  <si>
    <t>TOTAL escrituras al mes</t>
  </si>
  <si>
    <t>Lecturas al mes (cuando se CONSULTA algo)</t>
  </si>
  <si>
    <t>Lecturas al mes</t>
  </si>
  <si>
    <t>Login (buscar al usuario)</t>
  </si>
  <si>
    <t>1 lectura por apertura de la app</t>
  </si>
  <si>
    <t>Cargar el menú</t>
  </si>
  <si>
    <t>1 lectura por apertura</t>
  </si>
  <si>
    <t>2 platos consultados por apertura</t>
  </si>
  <si>
    <t>Consultar estado del pedido</t>
  </si>
  <si>
    <t>El usuario revisa ~3 veces "¿ya llega?" entre que pide y recibe</t>
  </si>
  <si>
    <t>TOTAL lecturas al mes</t>
  </si>
  <si>
    <t>Espacio que ocupa la base de datos</t>
  </si>
  <si>
    <t>Pedidos guardados (12 meses de historial)</t>
  </si>
  <si>
    <t>Mantengo 1 año de historial</t>
  </si>
  <si>
    <t>Tamaño promedio de un pedido (KB)</t>
  </si>
  <si>
    <t>Items, totales, dirección, etc. ~2 KB</t>
  </si>
  <si>
    <t>Usuarios guardados</t>
  </si>
  <si>
    <t>Uno por cada usuario activo</t>
  </si>
  <si>
    <t>Tamaño de un usuario (KB)</t>
  </si>
  <si>
    <t>Email, nombre, dirección, etc.</t>
  </si>
  <si>
    <t>TOTAL espacio (GB)</t>
  </si>
  <si>
    <t>S3 — archivos estáticos e imágenes</t>
  </si>
  <si>
    <t>Donde guardo el frontend (la web/app) y las imágenes de los platos. AWS me pide cuánto espacio, cuántas descargas y cuánta data sale a internet.</t>
  </si>
  <si>
    <t>Espacio guardado</t>
  </si>
  <si>
    <t>Contenido</t>
  </si>
  <si>
    <t>Tamaño (GB)</t>
  </si>
  <si>
    <t>Frontend (web/app compilada)</t>
  </si>
  <si>
    <t>Una SPA típica pesa ~50 MB con assets</t>
  </si>
  <si>
    <t>Imágenes de platos</t>
  </si>
  <si>
    <t>Descargas al mes (cuando se BAJA un archivo)</t>
  </si>
  <si>
    <t>Descargas al mes</t>
  </si>
  <si>
    <t>Cargar la web/app</t>
  </si>
  <si>
    <t>Cada apertura descarga ~5 archivos (HTML, CSS, JS, fuentes)</t>
  </si>
  <si>
    <t>Cargar imágenes de platos</t>
  </si>
  <si>
    <t>El usuario ve ~15 imágenes de platos por apertura</t>
  </si>
  <si>
    <t>TOTAL descargas (GET) al mes</t>
  </si>
  <si>
    <t>Data que sale a internet</t>
  </si>
  <si>
    <t>AWS cobra extra por la data que sale hacia los usuarios ("data transfer out"). Calculo cuántos GB al mes.</t>
  </si>
  <si>
    <t>Tamaño promedio que descarga el usuario en una apertura (MB)</t>
  </si>
  <si>
    <t>Frontend + ~15 imágenes de 50 KB cada una ≈ 1 MB total</t>
  </si>
  <si>
    <t>TOTAL data que sale (GB)</t>
  </si>
  <si>
    <t>Cognito — manejo de usuarios y login</t>
  </si>
  <si>
    <t>Servicio que maneja el registro, login y contraseñas de los usuarios. AWS cobra por usuario activo al mes.</t>
  </si>
  <si>
    <t>Lo que pide la calculadora</t>
  </si>
  <si>
    <t>Usuarios activos al mes (MAU)</t>
  </si>
  <si>
    <t>Notificaciones — avisos al usuario</t>
  </si>
  <si>
    <t>Cada vez que cambia el estado del pedido, le mando un push o email al usuario. AWS me pide cuántos envíos al mes.</t>
  </si>
  <si>
    <t>¿Cuántas notificaciones al mes?</t>
  </si>
  <si>
    <t>Tipo</t>
  </si>
  <si>
    <t>Envíos al mes</t>
  </si>
  <si>
    <t>Notificaciones push (SNS)</t>
  </si>
  <si>
    <t>Pedidos × 4 cambios de estado (cocina, listo, en camino, entregado)</t>
  </si>
  <si>
    <t>Emails (solo cuando el pedido se entrega)</t>
  </si>
  <si>
    <t>Un email de confirmación por cada pedido entregado</t>
  </si>
  <si>
    <t>TOTAL push al mes</t>
  </si>
  <si>
    <t>← va en la calculadora AWS → SNS → "Mobile push notifications"</t>
  </si>
  <si>
    <t>TOTAL emails al mes</t>
  </si>
  <si>
    <t>← va en la calculadora AWS → SNS → "Email deliveries"</t>
  </si>
  <si>
    <t>Resumen — lo que voy a poner en la calculadora AWS</t>
  </si>
  <si>
    <t>Estos son los números que tengo que copiar a calculator.aws en cada servicio.</t>
  </si>
  <si>
    <t>Dato a ingresar</t>
  </si>
  <si>
    <t>Número de ejecuciones (requests) al mes</t>
  </si>
  <si>
    <t>Duración promedio por ejecución (ms)</t>
  </si>
  <si>
    <t>Número de llamadas (requests) al mes</t>
  </si>
  <si>
    <t>Escrituras al mes (write requests)</t>
  </si>
  <si>
    <t>Lecturas al mes (read requests)</t>
  </si>
  <si>
    <t>Espacio de datos (GB)</t>
  </si>
  <si>
    <t>Espacio almacenado (GB)</t>
  </si>
  <si>
    <t>Descargas (GET requests) al mes</t>
  </si>
  <si>
    <t>Data que sale a internet (GB)</t>
  </si>
  <si>
    <t>SNS (push)</t>
  </si>
  <si>
    <t>Notificaciones push al mes</t>
  </si>
  <si>
    <t>SNS (email)</t>
  </si>
  <si>
    <t>Emails al mes</t>
  </si>
  <si>
    <t>Asumiendo</t>
  </si>
  <si>
    <t>Razonamiento: pide 2 veces por semana (8 días/mes) y abre la app esos días para ver o pedir.</t>
  </si>
  <si>
    <t>A veces abre, ve, cierra. Y vuelve a abrir un rato después para pedir. Aprox 1.5 aperturas en promedio.</t>
  </si>
  <si>
    <t>Caso medio: app ya usada en la ciudad.</t>
  </si>
  <si>
    <t>Si el usuario abre la app es porque tiene intención. Aprox la mitad de las aperturas terminan en compra.</t>
  </si>
  <si>
    <t xml:space="preserve">Cada negocio recibe esto al día. </t>
  </si>
  <si>
    <t>Para que cada negocio reciba ~30 pedidos/día (realista para un restaurante chico-medio)</t>
  </si>
  <si>
    <t>35 restaurantes × ~15 platos cada uno × 50 KB por imagen</t>
  </si>
  <si>
    <t>campo "Number of requests"</t>
  </si>
  <si>
    <t>Las funciones son simples: consultan la DB y responden. Aprox 200 ms cada una.</t>
  </si>
  <si>
    <t>El usuario abre 2 platos antes de decidir qué pedir</t>
  </si>
  <si>
    <t>Creo que lo mejor es subir 1 sola. 1 sola con total vs 4 sumando lo mismo. Da igual ya que tienen mismo computo. Matemticamente sera lo mismo</t>
  </si>
  <si>
    <t>campo "Write requests"</t>
  </si>
  <si>
    <t>campo "Read requests"</t>
  </si>
  <si>
    <t>campo "Data storage"</t>
  </si>
  <si>
    <t>campo "Storage"</t>
  </si>
  <si>
    <t>campo "GET requests"</t>
  </si>
  <si>
    <t>campo "Data transfer out"</t>
  </si>
  <si>
    <t>campo "Monthly Active Users". Mismo número que en "Mi caso".</t>
  </si>
  <si>
    <t>Nota: Cognito tiene un nivel gratuito de 50,000 MAU. Mi caso (5,000 usuarios) entra en ese free tier que es para siempre.</t>
  </si>
  <si>
    <t>No se puso</t>
  </si>
  <si>
    <t>Falta CloudWatch + logs</t>
  </si>
  <si>
    <t>EventBridge + SQS</t>
  </si>
  <si>
    <t>4-5 dolares mas de lo que de la calculadora. Esto no representa mucho gasto</t>
  </si>
  <si>
    <t>Mensual</t>
  </si>
  <si>
    <t>TRM HOY</t>
  </si>
  <si>
    <t>Anual</t>
  </si>
  <si>
    <t xml:space="preserve">Costo por pedido (30K pedidos/mes)	</t>
  </si>
  <si>
    <t>Comision Rappi</t>
  </si>
  <si>
    <t>Rappi cobra entre 20% y 26% del valor de cada venta a través de su plataforma.</t>
  </si>
  <si>
    <t>Plataforma</t>
  </si>
  <si>
    <t>Comisión por pedido</t>
  </si>
  <si>
    <t>Para 30,000 pedidos/mes</t>
  </si>
  <si>
    <t>Rappi (20% conservador)</t>
  </si>
  <si>
    <t>$6,000 COP</t>
  </si>
  <si>
    <t>$180,000,000 COP/mes</t>
  </si>
  <si>
    <t>Rappi (23% promedio)</t>
  </si>
  <si>
    <t>$6,900 COP</t>
  </si>
  <si>
    <t>$207,000,000 COP/mes</t>
  </si>
  <si>
    <t>Rappi (26% agresivo)</t>
  </si>
  <si>
    <t>$7,800 COP</t>
  </si>
  <si>
    <t>$234,000,000 COP/mes</t>
  </si>
  <si>
    <t>OrderFlow (infraestructura AWS)</t>
  </si>
  <si>
    <t>$0.27 COP</t>
  </si>
  <si>
    <t>$8,007 COP/mes</t>
  </si>
  <si>
    <t>Procesar 30,000 pedidos al mes en AWS cuesta $8,007 pesos colombianos (~$2 USD).
Para procesar esos mismos 30,000 pedidos, Rappi se quedaría con entre $180 y $234 millones de pesos en comisiones.
OrderFlow tiene un costo de infraestructura ~25,000 veces menor por pedido procesado.</t>
  </si>
  <si>
    <t>Infra de 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</si>
</sst>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* #,##0_-;\-&quot;$&quot;* #,##0_-;_-&quot;$&quot;* &quot;-&quot;_-;_-@_-"/>
    <numFmt numFmtId="164" formatCode="0.000"/>
    <numFmt numFmtId="165" formatCode="0.0"/>
    <numFmt numFmtId="166" formatCode="_-&quot;$&quot;* #,##0.00_-;\-&quot;$&quot;* #,##0.00_-;_-&quot;$&quot;* &quot;-&quot;_-;_-@_-"/>
    <numFmt numFmtId="167" formatCode="_-&quot;$&quot;* #,##0.00000_-;\-&quot;$&quot;* #,##0.00000_-;_-&quot;$&quot;* &quot;-&quot;??_-;_-@_-"/>
    <numFmt numFmtId="168" formatCode="_-&quot;$&quot;* #,##0.00000_-;\-&quot;$&quot;* #,##0.00000_-;_-&quot;$&quot;* &quot;-&quot;?????_-;_-@_-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2"/>
      <color rgb="FF555555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888888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i/>
      <sz val="12"/>
      <color rgb="FF008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32F3E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E2D5F0"/>
        <bgColor indexed="64"/>
      </patternFill>
    </fill>
    <fill>
      <patternFill patternType="solid">
        <fgColor rgb="FFFFE4B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1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3" fontId="8" fillId="0" borderId="0" xfId="0" applyNumberFormat="1" applyFont="1" applyAlignment="1">
      <alignment horizontal="center"/>
    </xf>
    <xf numFmtId="0" fontId="9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/>
    <xf numFmtId="3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11" fillId="3" borderId="0" xfId="0" applyFont="1" applyFill="1"/>
    <xf numFmtId="3" fontId="10" fillId="4" borderId="0" xfId="0" applyNumberFormat="1" applyFont="1" applyFill="1" applyAlignment="1">
      <alignment horizontal="center"/>
    </xf>
    <xf numFmtId="1" fontId="10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  <xf numFmtId="3" fontId="2" fillId="5" borderId="0" xfId="0" applyNumberFormat="1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1" fontId="10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wrapText="1"/>
    </xf>
    <xf numFmtId="0" fontId="8" fillId="0" borderId="0" xfId="0" applyFont="1" applyAlignment="1">
      <alignment wrapText="1"/>
    </xf>
    <xf numFmtId="164" fontId="2" fillId="5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2" fillId="5" borderId="0" xfId="0" applyNumberFormat="1" applyFont="1" applyFill="1" applyAlignment="1">
      <alignment horizontal="center"/>
    </xf>
    <xf numFmtId="0" fontId="12" fillId="0" borderId="0" xfId="0" applyFont="1"/>
    <xf numFmtId="0" fontId="2" fillId="7" borderId="0" xfId="0" applyFont="1" applyFill="1"/>
    <xf numFmtId="0" fontId="0" fillId="7" borderId="0" xfId="0" applyFill="1"/>
    <xf numFmtId="1" fontId="2" fillId="0" borderId="0" xfId="0" applyNumberFormat="1" applyFont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6" borderId="0" xfId="0" applyFill="1"/>
    <xf numFmtId="164" fontId="2" fillId="0" borderId="0" xfId="0" applyNumberFormat="1" applyFont="1" applyAlignment="1">
      <alignment horizontal="center"/>
    </xf>
    <xf numFmtId="0" fontId="2" fillId="9" borderId="0" xfId="0" applyFont="1" applyFill="1"/>
    <xf numFmtId="0" fontId="0" fillId="9" borderId="0" xfId="0" applyFill="1"/>
    <xf numFmtId="165" fontId="2" fillId="0" borderId="0" xfId="0" applyNumberFormat="1" applyFont="1" applyAlignment="1">
      <alignment horizontal="center"/>
    </xf>
    <xf numFmtId="0" fontId="2" fillId="10" borderId="0" xfId="0" applyFont="1" applyFill="1"/>
    <xf numFmtId="0" fontId="2" fillId="11" borderId="0" xfId="0" applyFont="1" applyFill="1"/>
    <xf numFmtId="0" fontId="4" fillId="0" borderId="0" xfId="0" applyFont="1" applyAlignment="1">
      <alignment wrapText="1"/>
    </xf>
    <xf numFmtId="2" fontId="2" fillId="5" borderId="0" xfId="0" applyNumberFormat="1" applyFont="1" applyFill="1" applyAlignment="1">
      <alignment horizontal="center"/>
    </xf>
    <xf numFmtId="42" fontId="0" fillId="0" borderId="0" xfId="1" applyFont="1"/>
    <xf numFmtId="0" fontId="13" fillId="0" borderId="0" xfId="0" applyFont="1"/>
    <xf numFmtId="166" fontId="0" fillId="0" borderId="0" xfId="1" applyNumberFormat="1" applyFont="1"/>
    <xf numFmtId="167" fontId="0" fillId="0" borderId="0" xfId="0" applyNumberFormat="1"/>
    <xf numFmtId="168" fontId="0" fillId="5" borderId="0" xfId="0" applyNumberFormat="1" applyFill="1"/>
    <xf numFmtId="0" fontId="14" fillId="0" borderId="0" xfId="0" applyFont="1"/>
    <xf numFmtId="0" fontId="1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355600</xdr:colOff>
      <xdr:row>1</xdr:row>
      <xdr:rowOff>0</xdr:rowOff>
    </xdr:from>
    <xdr:to>
      <xdr:col>9</xdr:col>
      <xdr:colOff>452966</xdr:colOff>
      <xdr:row>16</xdr:row>
      <xdr:rowOff>45535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EE155B-FDF6-EB95-283E-A7252D70B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5100" y="304800"/>
          <a:ext cx="7772400" cy="309353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an Pablo  Castaño Uribe" id="{2EB5F08E-371A-C64B-A5A4-A3D73F86253A}" userId="S::jcastanour@unal.edu.co::bb7419f7-2347-4214-ac42-cd17c34652f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1" dT="2026-05-15T03:59:58.84" personId="{2EB5F08E-371A-C64B-A5A4-A3D73F86253A}" id="{D22E8344-EE0B-BD43-AA81-5EEDE022DB42}">
    <text>$0.27 pesos por pedido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0254FE-C1D0-AA47-9CA5-449296231B2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5b5f8eb-f7cf-4cfd-b58d-07b804905670&quot;"/>
  </we:properties>
  <we:bindings/>
  <we:snapshot xmlns:r="http://schemas.openxmlformats.org/officeDocument/2006/relationships"/>
</we:webextension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2280-2B04-E84A-BB0D-AAB956368475}">
  <dimension ref="A1:C17"/>
  <sheetViews>
    <sheetView tabSelected="1" zoomScale="150" workbookViewId="0">
      <selection activeCell="A16" sqref="A1:XFD1048576"/>
    </sheetView>
  </sheetViews>
  <sheetFormatPr baseColWidth="10" defaultRowHeight="16" x14ac:dyDescent="0.2"/>
  <cols>
    <col min="1" max="1" width="67.83203125" bestFit="1" customWidth="1"/>
    <col min="2" max="2" width="15" customWidth="1"/>
    <col min="3" max="3" width="80" style="26" customWidth="1"/>
  </cols>
  <sheetData>
    <row r="1" spans="1:3" ht="24" x14ac:dyDescent="0.3">
      <c r="A1" s="13" t="s">
        <v>8</v>
      </c>
    </row>
    <row r="2" spans="1:3" x14ac:dyDescent="0.2">
      <c r="A2" s="2" t="s">
        <v>9</v>
      </c>
    </row>
    <row r="4" spans="1:3" ht="18" x14ac:dyDescent="0.25">
      <c r="A4" s="21" t="s">
        <v>150</v>
      </c>
    </row>
    <row r="5" spans="1:3" ht="17" x14ac:dyDescent="0.2">
      <c r="A5" s="4" t="s">
        <v>10</v>
      </c>
      <c r="B5" s="22" t="s">
        <v>0</v>
      </c>
      <c r="C5" s="27" t="s">
        <v>11</v>
      </c>
    </row>
    <row r="6" spans="1:3" ht="17" x14ac:dyDescent="0.2">
      <c r="A6" t="s">
        <v>12</v>
      </c>
      <c r="B6" s="18">
        <v>5000</v>
      </c>
      <c r="C6" s="26" t="s">
        <v>153</v>
      </c>
    </row>
    <row r="7" spans="1:3" ht="17" x14ac:dyDescent="0.2">
      <c r="A7" t="s">
        <v>13</v>
      </c>
      <c r="B7" s="18">
        <v>35</v>
      </c>
      <c r="C7" s="26" t="s">
        <v>156</v>
      </c>
    </row>
    <row r="8" spans="1:3" ht="17" x14ac:dyDescent="0.2">
      <c r="A8" t="s">
        <v>14</v>
      </c>
      <c r="B8" s="23">
        <v>8</v>
      </c>
      <c r="C8" s="26" t="s">
        <v>151</v>
      </c>
    </row>
    <row r="9" spans="1:3" ht="34" x14ac:dyDescent="0.2">
      <c r="A9" t="s">
        <v>15</v>
      </c>
      <c r="B9" s="19">
        <v>1.5</v>
      </c>
      <c r="C9" s="26" t="s">
        <v>152</v>
      </c>
    </row>
    <row r="10" spans="1:3" ht="34" x14ac:dyDescent="0.2">
      <c r="A10" s="3" t="s">
        <v>16</v>
      </c>
      <c r="B10" s="20">
        <v>0.5</v>
      </c>
      <c r="C10" s="26" t="s">
        <v>154</v>
      </c>
    </row>
    <row r="11" spans="1:3" x14ac:dyDescent="0.2">
      <c r="C11"/>
    </row>
    <row r="12" spans="1:3" x14ac:dyDescent="0.2">
      <c r="C12"/>
    </row>
    <row r="13" spans="1:3" ht="17" x14ac:dyDescent="0.2">
      <c r="A13" s="4" t="s">
        <v>17</v>
      </c>
      <c r="B13" s="5" t="s">
        <v>18</v>
      </c>
      <c r="C13" s="27" t="s">
        <v>19</v>
      </c>
    </row>
    <row r="14" spans="1:3" ht="17" x14ac:dyDescent="0.2">
      <c r="A14" t="s">
        <v>20</v>
      </c>
      <c r="B14" s="25">
        <f>B6*B8*B9</f>
        <v>60000</v>
      </c>
      <c r="C14" s="26" t="s">
        <v>21</v>
      </c>
    </row>
    <row r="15" spans="1:3" ht="17" x14ac:dyDescent="0.2">
      <c r="A15" t="s">
        <v>22</v>
      </c>
      <c r="B15" s="25">
        <f>B14*B10</f>
        <v>30000</v>
      </c>
      <c r="C15" s="26" t="s">
        <v>23</v>
      </c>
    </row>
    <row r="16" spans="1:3" ht="17" x14ac:dyDescent="0.2">
      <c r="A16" t="s">
        <v>24</v>
      </c>
      <c r="B16" s="8">
        <f>B15/30</f>
        <v>1000</v>
      </c>
      <c r="C16" s="26" t="s">
        <v>25</v>
      </c>
    </row>
    <row r="17" spans="1:3" ht="17" x14ac:dyDescent="0.2">
      <c r="A17" t="s">
        <v>26</v>
      </c>
      <c r="B17" s="8">
        <f>B16/B7</f>
        <v>28.571428571428573</v>
      </c>
      <c r="C17" s="2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41CC-5C6A-B942-B641-DAEDC0CBB080}">
  <dimension ref="A1:C20"/>
  <sheetViews>
    <sheetView zoomScale="132" workbookViewId="0">
      <selection activeCell="B6" sqref="B6:B10"/>
    </sheetView>
  </sheetViews>
  <sheetFormatPr baseColWidth="10" defaultRowHeight="16" x14ac:dyDescent="0.2"/>
  <cols>
    <col min="1" max="1" width="91.83203125" customWidth="1"/>
    <col min="2" max="2" width="18.33203125" customWidth="1"/>
    <col min="3" max="3" width="80" style="26" customWidth="1"/>
  </cols>
  <sheetData>
    <row r="1" spans="1:3" ht="22" x14ac:dyDescent="0.3">
      <c r="A1" s="1" t="s">
        <v>35</v>
      </c>
    </row>
    <row r="2" spans="1:3" ht="34" x14ac:dyDescent="0.2">
      <c r="A2" s="49" t="s">
        <v>36</v>
      </c>
    </row>
    <row r="4" spans="1:3" ht="18" x14ac:dyDescent="0.25">
      <c r="A4" s="21" t="s">
        <v>37</v>
      </c>
    </row>
    <row r="5" spans="1:3" ht="17" x14ac:dyDescent="0.2">
      <c r="A5" s="4" t="s">
        <v>38</v>
      </c>
      <c r="B5" s="5" t="s">
        <v>39</v>
      </c>
      <c r="C5" s="27" t="s">
        <v>40</v>
      </c>
    </row>
    <row r="6" spans="1:3" ht="17" x14ac:dyDescent="0.2">
      <c r="A6" t="s">
        <v>27</v>
      </c>
      <c r="B6" s="8">
        <f>'Mi caso'!B14</f>
        <v>60000</v>
      </c>
      <c r="C6" s="26" t="s">
        <v>41</v>
      </c>
    </row>
    <row r="7" spans="1:3" ht="17" x14ac:dyDescent="0.2">
      <c r="A7" t="s">
        <v>28</v>
      </c>
      <c r="B7" s="8">
        <f>'Mi caso'!B14</f>
        <v>60000</v>
      </c>
      <c r="C7" s="26" t="s">
        <v>42</v>
      </c>
    </row>
    <row r="8" spans="1:3" ht="17" x14ac:dyDescent="0.2">
      <c r="A8" t="s">
        <v>43</v>
      </c>
      <c r="B8" s="8">
        <f>'Mi caso'!B14*2</f>
        <v>120000</v>
      </c>
      <c r="C8" s="26" t="s">
        <v>160</v>
      </c>
    </row>
    <row r="9" spans="1:3" ht="17" x14ac:dyDescent="0.2">
      <c r="A9" t="s">
        <v>29</v>
      </c>
      <c r="B9" s="8">
        <f>'Mi caso'!B15</f>
        <v>30000</v>
      </c>
      <c r="C9" s="26" t="s">
        <v>44</v>
      </c>
    </row>
    <row r="10" spans="1:3" ht="17" x14ac:dyDescent="0.2">
      <c r="A10" t="s">
        <v>30</v>
      </c>
      <c r="B10" s="8">
        <f>'Mi caso'!B15*4</f>
        <v>120000</v>
      </c>
      <c r="C10" s="26" t="s">
        <v>45</v>
      </c>
    </row>
    <row r="11" spans="1:3" ht="17" x14ac:dyDescent="0.2">
      <c r="A11" t="s">
        <v>46</v>
      </c>
      <c r="B11" s="8">
        <f>'Mi caso'!B15*4</f>
        <v>120000</v>
      </c>
      <c r="C11" s="26" t="s">
        <v>31</v>
      </c>
    </row>
    <row r="13" spans="1:3" ht="17" x14ac:dyDescent="0.2">
      <c r="A13" s="16" t="s">
        <v>32</v>
      </c>
      <c r="B13" s="28">
        <f>SUM(B6:B11)</f>
        <v>510000</v>
      </c>
      <c r="C13" s="31" t="s">
        <v>158</v>
      </c>
    </row>
    <row r="15" spans="1:3" ht="18" x14ac:dyDescent="0.25">
      <c r="A15" s="21" t="s">
        <v>48</v>
      </c>
    </row>
    <row r="16" spans="1:3" ht="17" x14ac:dyDescent="0.2">
      <c r="A16" s="4" t="s">
        <v>10</v>
      </c>
      <c r="B16" s="5" t="s">
        <v>0</v>
      </c>
      <c r="C16" s="27" t="s">
        <v>1</v>
      </c>
    </row>
    <row r="17" spans="1:3" ht="17" x14ac:dyDescent="0.2">
      <c r="A17" t="s">
        <v>49</v>
      </c>
      <c r="B17" s="30">
        <v>200</v>
      </c>
      <c r="C17" s="26" t="s">
        <v>159</v>
      </c>
    </row>
    <row r="18" spans="1:3" ht="17" x14ac:dyDescent="0.2">
      <c r="A18" t="s">
        <v>50</v>
      </c>
      <c r="B18" s="30">
        <v>128</v>
      </c>
      <c r="C18" s="26" t="s">
        <v>51</v>
      </c>
    </row>
    <row r="20" spans="1:3" ht="34" x14ac:dyDescent="0.2">
      <c r="A20" s="26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0BC24-CA4D-B34B-88DA-8594CBEE124C}">
  <dimension ref="A1:C13"/>
  <sheetViews>
    <sheetView zoomScale="125" workbookViewId="0">
      <selection activeCell="B6" sqref="B6"/>
    </sheetView>
  </sheetViews>
  <sheetFormatPr baseColWidth="10" defaultRowHeight="16" x14ac:dyDescent="0.2"/>
  <cols>
    <col min="1" max="1" width="40" customWidth="1"/>
    <col min="2" max="2" width="18.33203125" customWidth="1"/>
    <col min="3" max="3" width="80" style="26" customWidth="1"/>
  </cols>
  <sheetData>
    <row r="1" spans="1:3" ht="22" x14ac:dyDescent="0.3">
      <c r="A1" s="1" t="s">
        <v>52</v>
      </c>
    </row>
    <row r="2" spans="1:3" x14ac:dyDescent="0.2">
      <c r="A2" s="2" t="s">
        <v>53</v>
      </c>
    </row>
    <row r="4" spans="1:3" ht="18" x14ac:dyDescent="0.25">
      <c r="A4" s="21" t="s">
        <v>54</v>
      </c>
    </row>
    <row r="5" spans="1:3" ht="17" x14ac:dyDescent="0.2">
      <c r="A5" s="4" t="s">
        <v>38</v>
      </c>
      <c r="B5" s="5" t="s">
        <v>34</v>
      </c>
      <c r="C5" s="27" t="s">
        <v>40</v>
      </c>
    </row>
    <row r="6" spans="1:3" ht="17" x14ac:dyDescent="0.2">
      <c r="A6" t="s">
        <v>55</v>
      </c>
      <c r="B6" s="8">
        <f>Lambda!B6+Lambda!B7+Lambda!B8+Lambda!B9+Lambda!B10</f>
        <v>390000</v>
      </c>
      <c r="C6" s="26" t="s">
        <v>56</v>
      </c>
    </row>
    <row r="7" spans="1:3" ht="17" x14ac:dyDescent="0.2">
      <c r="A7" s="11" t="s">
        <v>57</v>
      </c>
      <c r="B7" s="12">
        <v>0</v>
      </c>
      <c r="C7" s="32" t="s">
        <v>58</v>
      </c>
    </row>
    <row r="9" spans="1:3" ht="17" x14ac:dyDescent="0.2">
      <c r="A9" s="16" t="s">
        <v>59</v>
      </c>
      <c r="B9" s="28">
        <f>B6+B7</f>
        <v>390000</v>
      </c>
      <c r="C9" s="31" t="s">
        <v>47</v>
      </c>
    </row>
    <row r="11" spans="1:3" ht="18" x14ac:dyDescent="0.25">
      <c r="A11" s="21" t="s">
        <v>60</v>
      </c>
    </row>
    <row r="12" spans="1:3" ht="17" x14ac:dyDescent="0.2">
      <c r="A12" t="s">
        <v>61</v>
      </c>
      <c r="B12" s="29" t="s">
        <v>62</v>
      </c>
      <c r="C12" s="26" t="s">
        <v>63</v>
      </c>
    </row>
    <row r="13" spans="1:3" ht="17" x14ac:dyDescent="0.2">
      <c r="A13" t="s">
        <v>64</v>
      </c>
      <c r="B13" s="30">
        <v>1</v>
      </c>
      <c r="C13" s="26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FCA2-A1E0-AD48-954C-CDFE18BA8214}">
  <dimension ref="A1:C27"/>
  <sheetViews>
    <sheetView topLeftCell="A9" zoomScale="144" workbookViewId="0">
      <selection activeCell="C28" sqref="C28"/>
    </sheetView>
  </sheetViews>
  <sheetFormatPr baseColWidth="10" defaultRowHeight="16" x14ac:dyDescent="0.2"/>
  <cols>
    <col min="1" max="1" width="46.6640625" customWidth="1"/>
    <col min="2" max="2" width="21.6640625" customWidth="1"/>
    <col min="3" max="3" width="76.6640625" style="26" customWidth="1"/>
  </cols>
  <sheetData>
    <row r="1" spans="1:3" ht="22" x14ac:dyDescent="0.3">
      <c r="A1" s="1" t="s">
        <v>66</v>
      </c>
    </row>
    <row r="2" spans="1:3" x14ac:dyDescent="0.2">
      <c r="A2" s="2" t="s">
        <v>67</v>
      </c>
    </row>
    <row r="4" spans="1:3" ht="18" x14ac:dyDescent="0.25">
      <c r="A4" s="21" t="s">
        <v>68</v>
      </c>
    </row>
    <row r="5" spans="1:3" ht="17" x14ac:dyDescent="0.2">
      <c r="A5" s="4" t="s">
        <v>38</v>
      </c>
      <c r="B5" s="5" t="s">
        <v>69</v>
      </c>
      <c r="C5" s="27" t="s">
        <v>40</v>
      </c>
    </row>
    <row r="6" spans="1:3" ht="17" x14ac:dyDescent="0.2">
      <c r="A6" t="s">
        <v>70</v>
      </c>
      <c r="B6" s="8">
        <f>'Mi caso'!B15</f>
        <v>30000</v>
      </c>
      <c r="C6" s="26" t="s">
        <v>71</v>
      </c>
    </row>
    <row r="7" spans="1:3" ht="17" x14ac:dyDescent="0.2">
      <c r="A7" t="s">
        <v>72</v>
      </c>
      <c r="B7" s="8">
        <f>'Mi caso'!B15*4</f>
        <v>120000</v>
      </c>
      <c r="C7" s="26" t="s">
        <v>73</v>
      </c>
    </row>
    <row r="8" spans="1:3" ht="17" x14ac:dyDescent="0.2">
      <c r="A8" t="s">
        <v>74</v>
      </c>
      <c r="B8" s="6">
        <v>200</v>
      </c>
      <c r="C8" s="26" t="s">
        <v>75</v>
      </c>
    </row>
    <row r="10" spans="1:3" ht="17" x14ac:dyDescent="0.2">
      <c r="A10" s="16" t="s">
        <v>76</v>
      </c>
      <c r="B10" s="28">
        <f>SUM(B6:B8)</f>
        <v>150200</v>
      </c>
      <c r="C10" s="31" t="s">
        <v>162</v>
      </c>
    </row>
    <row r="12" spans="1:3" ht="18" x14ac:dyDescent="0.25">
      <c r="A12" s="21" t="s">
        <v>77</v>
      </c>
    </row>
    <row r="13" spans="1:3" ht="17" x14ac:dyDescent="0.2">
      <c r="A13" s="4" t="s">
        <v>38</v>
      </c>
      <c r="B13" s="5" t="s">
        <v>78</v>
      </c>
      <c r="C13" s="27" t="s">
        <v>40</v>
      </c>
    </row>
    <row r="14" spans="1:3" ht="17" x14ac:dyDescent="0.2">
      <c r="A14" t="s">
        <v>79</v>
      </c>
      <c r="B14" s="8">
        <f>'Mi caso'!B14</f>
        <v>60000</v>
      </c>
      <c r="C14" s="26" t="s">
        <v>80</v>
      </c>
    </row>
    <row r="15" spans="1:3" ht="17" x14ac:dyDescent="0.2">
      <c r="A15" t="s">
        <v>81</v>
      </c>
      <c r="B15" s="8">
        <f>'Mi caso'!B14</f>
        <v>60000</v>
      </c>
      <c r="C15" s="26" t="s">
        <v>82</v>
      </c>
    </row>
    <row r="16" spans="1:3" ht="17" x14ac:dyDescent="0.2">
      <c r="A16" t="s">
        <v>43</v>
      </c>
      <c r="B16" s="8">
        <f>'Mi caso'!B14*2</f>
        <v>120000</v>
      </c>
      <c r="C16" s="26" t="s">
        <v>83</v>
      </c>
    </row>
    <row r="17" spans="1:3" ht="17" x14ac:dyDescent="0.2">
      <c r="A17" t="s">
        <v>84</v>
      </c>
      <c r="B17" s="8">
        <f>'Mi caso'!B15*3</f>
        <v>90000</v>
      </c>
      <c r="C17" s="26" t="s">
        <v>85</v>
      </c>
    </row>
    <row r="19" spans="1:3" ht="17" x14ac:dyDescent="0.2">
      <c r="A19" s="16" t="s">
        <v>86</v>
      </c>
      <c r="B19" s="28">
        <f>SUM(B14:B17)</f>
        <v>330000</v>
      </c>
      <c r="C19" s="31" t="s">
        <v>163</v>
      </c>
    </row>
    <row r="21" spans="1:3" ht="18" x14ac:dyDescent="0.25">
      <c r="A21" s="21" t="s">
        <v>87</v>
      </c>
    </row>
    <row r="22" spans="1:3" ht="17" x14ac:dyDescent="0.2">
      <c r="A22" t="s">
        <v>88</v>
      </c>
      <c r="B22" s="8">
        <f>'Mi caso'!B15*12</f>
        <v>360000</v>
      </c>
      <c r="C22" s="26" t="s">
        <v>89</v>
      </c>
    </row>
    <row r="23" spans="1:3" ht="17" x14ac:dyDescent="0.2">
      <c r="A23" t="s">
        <v>90</v>
      </c>
      <c r="B23" s="7">
        <v>2</v>
      </c>
      <c r="C23" s="26" t="s">
        <v>91</v>
      </c>
    </row>
    <row r="24" spans="1:3" ht="17" x14ac:dyDescent="0.2">
      <c r="A24" t="s">
        <v>92</v>
      </c>
      <c r="B24" s="8">
        <f>'Mi caso'!B6</f>
        <v>5000</v>
      </c>
      <c r="C24" s="26" t="s">
        <v>93</v>
      </c>
    </row>
    <row r="25" spans="1:3" ht="17" x14ac:dyDescent="0.2">
      <c r="A25" t="s">
        <v>94</v>
      </c>
      <c r="B25" s="7">
        <v>1</v>
      </c>
      <c r="C25" s="26" t="s">
        <v>95</v>
      </c>
    </row>
    <row r="27" spans="1:3" ht="17" x14ac:dyDescent="0.2">
      <c r="A27" s="16" t="s">
        <v>96</v>
      </c>
      <c r="B27" s="33">
        <f>(B22*B23+B24*B25)/1000000</f>
        <v>0.72499999999999998</v>
      </c>
      <c r="C27" s="31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9655-67D3-5B46-AA45-CB756BC3685B}">
  <dimension ref="A1:C23"/>
  <sheetViews>
    <sheetView topLeftCell="A4" zoomScale="140" workbookViewId="0">
      <selection activeCell="B9" sqref="B9"/>
    </sheetView>
  </sheetViews>
  <sheetFormatPr baseColWidth="10" defaultRowHeight="16" x14ac:dyDescent="0.2"/>
  <cols>
    <col min="1" max="1" width="53.33203125" customWidth="1"/>
    <col min="2" max="2" width="21.6640625" customWidth="1"/>
    <col min="3" max="3" width="73.33203125" style="26" customWidth="1"/>
  </cols>
  <sheetData>
    <row r="1" spans="1:3" ht="22" x14ac:dyDescent="0.3">
      <c r="A1" s="1" t="s">
        <v>97</v>
      </c>
    </row>
    <row r="2" spans="1:3" x14ac:dyDescent="0.2">
      <c r="A2" s="2" t="s">
        <v>98</v>
      </c>
    </row>
    <row r="4" spans="1:3" ht="18" x14ac:dyDescent="0.25">
      <c r="A4" s="21" t="s">
        <v>99</v>
      </c>
    </row>
    <row r="5" spans="1:3" ht="17" x14ac:dyDescent="0.2">
      <c r="A5" s="4" t="s">
        <v>100</v>
      </c>
      <c r="B5" s="5" t="s">
        <v>101</v>
      </c>
      <c r="C5" s="27" t="s">
        <v>40</v>
      </c>
    </row>
    <row r="6" spans="1:3" ht="17" x14ac:dyDescent="0.2">
      <c r="A6" t="s">
        <v>102</v>
      </c>
      <c r="B6" s="9">
        <v>0.05</v>
      </c>
      <c r="C6" s="26" t="s">
        <v>103</v>
      </c>
    </row>
    <row r="7" spans="1:3" ht="17" x14ac:dyDescent="0.2">
      <c r="A7" t="s">
        <v>104</v>
      </c>
      <c r="B7" s="34">
        <f>'Mi caso'!B7*15*0.05/1000</f>
        <v>2.6249999999999999E-2</v>
      </c>
      <c r="C7" s="26" t="s">
        <v>157</v>
      </c>
    </row>
    <row r="9" spans="1:3" ht="17" x14ac:dyDescent="0.2">
      <c r="A9" s="16" t="s">
        <v>96</v>
      </c>
      <c r="B9" s="50">
        <f>B6+B7</f>
        <v>7.6249999999999998E-2</v>
      </c>
      <c r="C9" s="31" t="s">
        <v>165</v>
      </c>
    </row>
    <row r="11" spans="1:3" ht="18" x14ac:dyDescent="0.25">
      <c r="A11" s="21" t="s">
        <v>105</v>
      </c>
    </row>
    <row r="12" spans="1:3" ht="17" x14ac:dyDescent="0.2">
      <c r="A12" s="4" t="s">
        <v>38</v>
      </c>
      <c r="B12" s="5" t="s">
        <v>106</v>
      </c>
      <c r="C12" s="27" t="s">
        <v>40</v>
      </c>
    </row>
    <row r="13" spans="1:3" ht="17" x14ac:dyDescent="0.2">
      <c r="A13" t="s">
        <v>107</v>
      </c>
      <c r="B13" s="8">
        <f>'Mi caso'!B14*5</f>
        <v>300000</v>
      </c>
      <c r="C13" s="26" t="s">
        <v>108</v>
      </c>
    </row>
    <row r="14" spans="1:3" ht="17" x14ac:dyDescent="0.2">
      <c r="A14" t="s">
        <v>109</v>
      </c>
      <c r="B14" s="8">
        <f>'Mi caso'!B14*15</f>
        <v>900000</v>
      </c>
      <c r="C14" s="26" t="s">
        <v>110</v>
      </c>
    </row>
    <row r="16" spans="1:3" ht="17" x14ac:dyDescent="0.2">
      <c r="A16" s="16" t="s">
        <v>111</v>
      </c>
      <c r="B16" s="28">
        <f>B13+B14</f>
        <v>1200000</v>
      </c>
      <c r="C16" s="31" t="s">
        <v>166</v>
      </c>
    </row>
    <row r="18" spans="1:3" ht="18" x14ac:dyDescent="0.25">
      <c r="A18" s="21" t="s">
        <v>112</v>
      </c>
    </row>
    <row r="19" spans="1:3" x14ac:dyDescent="0.2">
      <c r="A19" s="10" t="s">
        <v>113</v>
      </c>
    </row>
    <row r="21" spans="1:3" ht="17" x14ac:dyDescent="0.2">
      <c r="A21" t="s">
        <v>114</v>
      </c>
      <c r="B21" s="7">
        <v>1</v>
      </c>
      <c r="C21" s="26" t="s">
        <v>115</v>
      </c>
    </row>
    <row r="23" spans="1:3" ht="17" x14ac:dyDescent="0.2">
      <c r="A23" s="16" t="s">
        <v>116</v>
      </c>
      <c r="B23" s="35">
        <f>'Mi caso'!B14*B21/1000</f>
        <v>60</v>
      </c>
      <c r="C23" s="31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4D2B-56D0-7746-A471-F082E82B5CFC}">
  <dimension ref="A1:C8"/>
  <sheetViews>
    <sheetView zoomScale="131" workbookViewId="0">
      <selection activeCell="B13" sqref="B13"/>
    </sheetView>
  </sheetViews>
  <sheetFormatPr baseColWidth="10" defaultRowHeight="16" x14ac:dyDescent="0.2"/>
  <cols>
    <col min="1" max="1" width="46.6640625" customWidth="1"/>
    <col min="2" max="2" width="21.6640625" customWidth="1"/>
    <col min="3" max="3" width="80" style="26" customWidth="1"/>
  </cols>
  <sheetData>
    <row r="1" spans="1:3" ht="22" x14ac:dyDescent="0.3">
      <c r="A1" s="1" t="s">
        <v>117</v>
      </c>
    </row>
    <row r="2" spans="1:3" x14ac:dyDescent="0.2">
      <c r="A2" s="2" t="s">
        <v>118</v>
      </c>
    </row>
    <row r="4" spans="1:3" ht="18" x14ac:dyDescent="0.25">
      <c r="A4" s="21" t="s">
        <v>119</v>
      </c>
    </row>
    <row r="5" spans="1:3" ht="17" x14ac:dyDescent="0.2">
      <c r="A5" s="4" t="s">
        <v>10</v>
      </c>
      <c r="B5" s="5" t="s">
        <v>0</v>
      </c>
      <c r="C5" s="27" t="s">
        <v>40</v>
      </c>
    </row>
    <row r="6" spans="1:3" ht="17" x14ac:dyDescent="0.2">
      <c r="A6" s="16" t="s">
        <v>120</v>
      </c>
      <c r="B6" s="28">
        <f>'Mi caso'!B6</f>
        <v>5000</v>
      </c>
      <c r="C6" s="31" t="s">
        <v>168</v>
      </c>
    </row>
    <row r="8" spans="1:3" x14ac:dyDescent="0.2">
      <c r="A8" s="36" t="s">
        <v>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9A49-2006-9B4C-8277-F14AB027F118}">
  <dimension ref="A1:C10"/>
  <sheetViews>
    <sheetView workbookViewId="0"/>
  </sheetViews>
  <sheetFormatPr baseColWidth="10" defaultRowHeight="16" x14ac:dyDescent="0.2"/>
  <cols>
    <col min="1" max="1" width="46.6640625" customWidth="1"/>
    <col min="2" max="2" width="21.6640625" customWidth="1"/>
    <col min="3" max="3" width="80" style="26" customWidth="1"/>
  </cols>
  <sheetData>
    <row r="1" spans="1:3" ht="22" x14ac:dyDescent="0.3">
      <c r="A1" s="1" t="s">
        <v>121</v>
      </c>
    </row>
    <row r="2" spans="1:3" x14ac:dyDescent="0.2">
      <c r="A2" s="2" t="s">
        <v>122</v>
      </c>
    </row>
    <row r="4" spans="1:3" ht="18" x14ac:dyDescent="0.25">
      <c r="A4" s="21" t="s">
        <v>123</v>
      </c>
    </row>
    <row r="5" spans="1:3" ht="17" x14ac:dyDescent="0.2">
      <c r="A5" s="4" t="s">
        <v>124</v>
      </c>
      <c r="B5" s="5" t="s">
        <v>125</v>
      </c>
      <c r="C5" s="27" t="s">
        <v>40</v>
      </c>
    </row>
    <row r="6" spans="1:3" ht="17" x14ac:dyDescent="0.2">
      <c r="A6" t="s">
        <v>126</v>
      </c>
      <c r="B6" s="8">
        <f>'Mi caso'!B15*4</f>
        <v>120000</v>
      </c>
      <c r="C6" s="26" t="s">
        <v>127</v>
      </c>
    </row>
    <row r="7" spans="1:3" ht="17" x14ac:dyDescent="0.2">
      <c r="A7" t="s">
        <v>128</v>
      </c>
      <c r="B7" s="8">
        <f>'Mi caso'!B15</f>
        <v>30000</v>
      </c>
      <c r="C7" s="26" t="s">
        <v>129</v>
      </c>
    </row>
    <row r="9" spans="1:3" ht="17" x14ac:dyDescent="0.2">
      <c r="A9" s="16" t="s">
        <v>130</v>
      </c>
      <c r="B9" s="28">
        <f>B6</f>
        <v>120000</v>
      </c>
      <c r="C9" s="31" t="s">
        <v>131</v>
      </c>
    </row>
    <row r="10" spans="1:3" ht="17" x14ac:dyDescent="0.2">
      <c r="A10" s="16" t="s">
        <v>132</v>
      </c>
      <c r="B10" s="28">
        <f>B7</f>
        <v>30000</v>
      </c>
      <c r="C10" s="31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EA89-57EF-EC48-92BC-A065ACA866EE}">
  <dimension ref="A1:K40"/>
  <sheetViews>
    <sheetView topLeftCell="B5" zoomScale="136" workbookViewId="0">
      <selection activeCell="H26" sqref="H26"/>
    </sheetView>
  </sheetViews>
  <sheetFormatPr baseColWidth="10" defaultRowHeight="16" x14ac:dyDescent="0.2"/>
  <cols>
    <col min="1" max="1" width="23.33203125" customWidth="1"/>
    <col min="2" max="2" width="56.6640625" customWidth="1"/>
    <col min="3" max="3" width="23.33203125" customWidth="1"/>
    <col min="6" max="6" width="38.5" customWidth="1"/>
    <col min="7" max="7" width="18.5" bestFit="1" customWidth="1"/>
    <col min="8" max="8" width="22.33203125" bestFit="1" customWidth="1"/>
    <col min="10" max="10" width="8.6640625" bestFit="1" customWidth="1"/>
    <col min="11" max="11" width="5.1640625" bestFit="1" customWidth="1"/>
    <col min="12" max="12" width="20.33203125" customWidth="1"/>
  </cols>
  <sheetData>
    <row r="1" spans="1:3" ht="24" x14ac:dyDescent="0.3">
      <c r="A1" s="13" t="s">
        <v>134</v>
      </c>
    </row>
    <row r="2" spans="1:3" x14ac:dyDescent="0.2">
      <c r="A2" s="2" t="s">
        <v>135</v>
      </c>
    </row>
    <row r="4" spans="1:3" x14ac:dyDescent="0.2">
      <c r="A4" s="14" t="s">
        <v>2</v>
      </c>
      <c r="B4" s="14" t="s">
        <v>136</v>
      </c>
      <c r="C4" s="15" t="s">
        <v>0</v>
      </c>
    </row>
    <row r="5" spans="1:3" x14ac:dyDescent="0.2">
      <c r="A5" s="37" t="s">
        <v>3</v>
      </c>
      <c r="B5" t="s">
        <v>137</v>
      </c>
      <c r="C5" s="25">
        <f>Lambda!B13</f>
        <v>510000</v>
      </c>
    </row>
    <row r="6" spans="1:3" x14ac:dyDescent="0.2">
      <c r="A6" s="38" t="s">
        <v>3</v>
      </c>
      <c r="B6" t="s">
        <v>138</v>
      </c>
      <c r="C6" s="39">
        <f>Lambda!B17</f>
        <v>200</v>
      </c>
    </row>
    <row r="7" spans="1:3" x14ac:dyDescent="0.2">
      <c r="A7" s="38" t="s">
        <v>3</v>
      </c>
      <c r="B7" t="s">
        <v>33</v>
      </c>
      <c r="C7" s="39">
        <f>Lambda!B18</f>
        <v>128</v>
      </c>
    </row>
    <row r="8" spans="1:3" x14ac:dyDescent="0.2">
      <c r="A8" s="40" t="s">
        <v>7</v>
      </c>
      <c r="B8" t="s">
        <v>139</v>
      </c>
      <c r="C8" s="25">
        <f>'API Gateway'!B9</f>
        <v>390000</v>
      </c>
    </row>
    <row r="9" spans="1:3" x14ac:dyDescent="0.2">
      <c r="A9" s="41" t="s">
        <v>7</v>
      </c>
      <c r="B9" t="s">
        <v>61</v>
      </c>
      <c r="C9" s="24" t="str">
        <f>'API Gateway'!B12</f>
        <v>HTTP API</v>
      </c>
    </row>
    <row r="10" spans="1:3" x14ac:dyDescent="0.2">
      <c r="A10" s="17" t="s">
        <v>4</v>
      </c>
      <c r="B10" t="s">
        <v>140</v>
      </c>
      <c r="C10" s="25">
        <f>DynamoDB!B10</f>
        <v>150200</v>
      </c>
    </row>
    <row r="11" spans="1:3" x14ac:dyDescent="0.2">
      <c r="A11" s="42" t="s">
        <v>4</v>
      </c>
      <c r="B11" t="s">
        <v>141</v>
      </c>
      <c r="C11" s="25">
        <f>DynamoDB!B19</f>
        <v>330000</v>
      </c>
    </row>
    <row r="12" spans="1:3" x14ac:dyDescent="0.2">
      <c r="A12" s="42" t="s">
        <v>4</v>
      </c>
      <c r="B12" t="s">
        <v>142</v>
      </c>
      <c r="C12" s="43">
        <f>DynamoDB!B27</f>
        <v>0.72499999999999998</v>
      </c>
    </row>
    <row r="13" spans="1:3" x14ac:dyDescent="0.2">
      <c r="A13" s="44" t="s">
        <v>5</v>
      </c>
      <c r="B13" t="s">
        <v>143</v>
      </c>
      <c r="C13" s="43">
        <f>'S3'!B9</f>
        <v>7.6249999999999998E-2</v>
      </c>
    </row>
    <row r="14" spans="1:3" x14ac:dyDescent="0.2">
      <c r="A14" s="45" t="s">
        <v>5</v>
      </c>
      <c r="B14" t="s">
        <v>144</v>
      </c>
      <c r="C14" s="25">
        <f>'S3'!B16</f>
        <v>1200000</v>
      </c>
    </row>
    <row r="15" spans="1:3" x14ac:dyDescent="0.2">
      <c r="A15" s="45" t="s">
        <v>5</v>
      </c>
      <c r="B15" t="s">
        <v>145</v>
      </c>
      <c r="C15" s="46">
        <f>'S3'!B23</f>
        <v>60</v>
      </c>
    </row>
    <row r="16" spans="1:3" x14ac:dyDescent="0.2">
      <c r="A16" s="47" t="s">
        <v>6</v>
      </c>
      <c r="B16" t="s">
        <v>120</v>
      </c>
      <c r="C16" s="25">
        <f>Cognito!B6</f>
        <v>5000</v>
      </c>
    </row>
    <row r="17" spans="1:11" x14ac:dyDescent="0.2">
      <c r="A17" s="48" t="s">
        <v>146</v>
      </c>
      <c r="B17" t="s">
        <v>147</v>
      </c>
      <c r="C17" s="25">
        <f>Notificaciones!B9</f>
        <v>120000</v>
      </c>
    </row>
    <row r="18" spans="1:11" x14ac:dyDescent="0.2">
      <c r="A18" s="48" t="s">
        <v>148</v>
      </c>
      <c r="B18" t="s">
        <v>149</v>
      </c>
      <c r="C18" s="25">
        <f>Notificaciones!B10</f>
        <v>30000</v>
      </c>
      <c r="F18" s="57" t="s">
        <v>196</v>
      </c>
      <c r="G18" s="57"/>
      <c r="H18" s="57"/>
      <c r="J18" t="s">
        <v>175</v>
      </c>
      <c r="K18">
        <v>3800</v>
      </c>
    </row>
    <row r="19" spans="1:11" x14ac:dyDescent="0.2">
      <c r="F19" s="52" t="s">
        <v>174</v>
      </c>
      <c r="G19" s="53">
        <v>2.11</v>
      </c>
      <c r="H19" s="51">
        <f>G19*K18</f>
        <v>8017.9999999999991</v>
      </c>
    </row>
    <row r="20" spans="1:11" x14ac:dyDescent="0.2">
      <c r="A20" s="3" t="s">
        <v>170</v>
      </c>
      <c r="F20" s="52" t="s">
        <v>176</v>
      </c>
      <c r="G20" s="53">
        <v>25.32</v>
      </c>
      <c r="H20" s="51">
        <f>G20*K18</f>
        <v>96216</v>
      </c>
    </row>
    <row r="21" spans="1:11" x14ac:dyDescent="0.2">
      <c r="A21" t="s">
        <v>171</v>
      </c>
      <c r="B21" s="58" t="s">
        <v>173</v>
      </c>
      <c r="F21" s="52" t="s">
        <v>177</v>
      </c>
      <c r="G21" s="54">
        <f>G19/30000</f>
        <v>7.0333333333333326E-5</v>
      </c>
      <c r="H21" s="55">
        <f>G21*K18</f>
        <v>0.26726666666666665</v>
      </c>
    </row>
    <row r="22" spans="1:11" x14ac:dyDescent="0.2">
      <c r="A22" t="s">
        <v>172</v>
      </c>
      <c r="B22" s="58"/>
    </row>
    <row r="24" spans="1:11" x14ac:dyDescent="0.2">
      <c r="F24" s="57" t="s">
        <v>178</v>
      </c>
      <c r="G24" s="57"/>
      <c r="H24" s="57"/>
    </row>
    <row r="25" spans="1:11" x14ac:dyDescent="0.2">
      <c r="A25" s="59"/>
      <c r="B25" s="59"/>
      <c r="F25" s="58" t="s">
        <v>179</v>
      </c>
      <c r="G25" s="58"/>
      <c r="H25" s="58"/>
    </row>
    <row r="26" spans="1:11" ht="34" customHeight="1" x14ac:dyDescent="0.2">
      <c r="F26" s="52" t="s">
        <v>180</v>
      </c>
      <c r="G26" s="52" t="s">
        <v>181</v>
      </c>
      <c r="H26" s="52" t="s">
        <v>182</v>
      </c>
    </row>
    <row r="27" spans="1:11" x14ac:dyDescent="0.2">
      <c r="F27" s="52" t="s">
        <v>183</v>
      </c>
      <c r="G27" s="56" t="s">
        <v>184</v>
      </c>
      <c r="H27" s="56" t="s">
        <v>185</v>
      </c>
    </row>
    <row r="28" spans="1:11" x14ac:dyDescent="0.2">
      <c r="F28" s="52" t="s">
        <v>186</v>
      </c>
      <c r="G28" s="56" t="s">
        <v>187</v>
      </c>
      <c r="H28" s="56" t="s">
        <v>188</v>
      </c>
    </row>
    <row r="29" spans="1:11" x14ac:dyDescent="0.2">
      <c r="F29" s="52" t="s">
        <v>189</v>
      </c>
      <c r="G29" s="56" t="s">
        <v>190</v>
      </c>
      <c r="H29" s="56" t="s">
        <v>191</v>
      </c>
      <c r="I29" s="52"/>
    </row>
    <row r="30" spans="1:11" x14ac:dyDescent="0.2">
      <c r="F30" s="52" t="s">
        <v>192</v>
      </c>
      <c r="G30" s="56" t="s">
        <v>193</v>
      </c>
      <c r="H30" s="56" t="s">
        <v>194</v>
      </c>
      <c r="I30" s="56"/>
    </row>
    <row r="31" spans="1:11" x14ac:dyDescent="0.2">
      <c r="I31" s="56"/>
    </row>
    <row r="32" spans="1:11" x14ac:dyDescent="0.2">
      <c r="I32" s="56"/>
    </row>
    <row r="33" spans="6:9" x14ac:dyDescent="0.2">
      <c r="F33" s="60" t="s">
        <v>195</v>
      </c>
      <c r="G33" s="60"/>
      <c r="H33" s="60"/>
      <c r="I33" s="56"/>
    </row>
    <row r="34" spans="6:9" x14ac:dyDescent="0.2">
      <c r="F34" s="60"/>
      <c r="G34" s="60"/>
      <c r="H34" s="60"/>
    </row>
    <row r="35" spans="6:9" x14ac:dyDescent="0.2">
      <c r="F35" s="60"/>
      <c r="G35" s="60"/>
      <c r="H35" s="60"/>
    </row>
    <row r="36" spans="6:9" ht="16" customHeight="1" x14ac:dyDescent="0.2">
      <c r="F36" s="60"/>
      <c r="G36" s="60"/>
      <c r="H36" s="60"/>
    </row>
    <row r="37" spans="6:9" x14ac:dyDescent="0.2">
      <c r="F37" s="60"/>
      <c r="G37" s="60"/>
      <c r="H37" s="60"/>
    </row>
    <row r="38" spans="6:9" x14ac:dyDescent="0.2">
      <c r="F38" s="60"/>
      <c r="G38" s="60"/>
      <c r="H38" s="60"/>
    </row>
    <row r="39" spans="6:9" x14ac:dyDescent="0.2">
      <c r="F39" s="60"/>
      <c r="G39" s="60"/>
      <c r="H39" s="60"/>
    </row>
    <row r="40" spans="6:9" x14ac:dyDescent="0.2">
      <c r="F40" s="60"/>
      <c r="G40" s="60"/>
      <c r="H40" s="60"/>
    </row>
  </sheetData>
  <mergeCells count="6">
    <mergeCell ref="F33:H40"/>
    <mergeCell ref="F18:H18"/>
    <mergeCell ref="B21:B22"/>
    <mergeCell ref="A25:B25"/>
    <mergeCell ref="F24:H24"/>
    <mergeCell ref="F25:H2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 caso</vt:lpstr>
      <vt:lpstr>Lambda</vt:lpstr>
      <vt:lpstr>API Gateway</vt:lpstr>
      <vt:lpstr>DynamoDB</vt:lpstr>
      <vt:lpstr>S3</vt:lpstr>
      <vt:lpstr>Cognito</vt:lpstr>
      <vt:lpstr>Notificaciones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 Castaño Uribe</dc:creator>
  <cp:lastModifiedBy>Juan Pablo  Castaño Uribe</cp:lastModifiedBy>
  <dcterms:created xsi:type="dcterms:W3CDTF">2026-05-13T14:00:05Z</dcterms:created>
  <dcterms:modified xsi:type="dcterms:W3CDTF">2026-06-01T22:40:40Z</dcterms:modified>
</cp:coreProperties>
</file>